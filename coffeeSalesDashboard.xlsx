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defaultThemeVersion="166925"/>
  <mc:AlternateContent xmlns:mc="http://schemas.openxmlformats.org/markup-compatibility/2006">
    <mc:Choice Requires="x15">
      <x15ac:absPath xmlns:x15ac="http://schemas.microsoft.com/office/spreadsheetml/2010/11/ac" url="/Users/ninazhang/Downloads/CoffeeSalesAnalysis/"/>
    </mc:Choice>
  </mc:AlternateContent>
  <xr:revisionPtr revIDLastSave="0" documentId="13_ncr:1_{9F366C17-EE80-6546-8614-B40CFFC1CFD8}" xr6:coauthVersionLast="47" xr6:coauthVersionMax="47" xr10:uidLastSave="{00000000-0000-0000-0000-000000000000}"/>
  <bookViews>
    <workbookView xWindow="0" yWindow="600" windowWidth="28800" windowHeight="16240" xr2:uid="{00000000-000D-0000-FFFF-FFFF00000000}"/>
  </bookViews>
  <sheets>
    <sheet name="Dashboard" sheetId="25" r:id="rId1"/>
    <sheet name="Total Sales" sheetId="18" r:id="rId2"/>
    <sheet name="CountryBarChart" sheetId="22" r:id="rId3"/>
    <sheet name="Top5Customers"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8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7" l="1"/>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M11" i="17"/>
  <c r="I18" i="17"/>
  <c r="N18" i="17" s="1"/>
  <c r="M7" i="17"/>
  <c r="M3" i="17"/>
  <c r="N6" i="17"/>
  <c r="N2" i="17"/>
  <c r="N3" i="17"/>
  <c r="N4" i="17"/>
  <c r="N5" i="17"/>
  <c r="N7" i="17"/>
  <c r="N8" i="17"/>
  <c r="N9" i="17"/>
  <c r="N10" i="17"/>
  <c r="N11" i="17"/>
  <c r="N12" i="17"/>
  <c r="N13" i="17"/>
  <c r="N14" i="17"/>
  <c r="N15" i="17"/>
  <c r="N16" i="17"/>
  <c r="N17"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O5" i="17"/>
  <c r="P7" i="17"/>
  <c r="P2" i="17"/>
  <c r="P3" i="17"/>
  <c r="P4" i="17"/>
  <c r="P5" i="17"/>
  <c r="P6"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L4" i="17"/>
  <c r="M4" i="17" s="1"/>
  <c r="L5" i="17"/>
  <c r="M5" i="17" s="1"/>
  <c r="L6" i="17"/>
  <c r="M6" i="17" s="1"/>
  <c r="L7" i="17"/>
  <c r="L8" i="17"/>
  <c r="M8" i="17" s="1"/>
  <c r="L9" i="17"/>
  <c r="M9" i="17" s="1"/>
  <c r="L10" i="17"/>
  <c r="M10" i="17" s="1"/>
  <c r="L11" i="17"/>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I4" i="17"/>
  <c r="I5" i="17"/>
  <c r="I6" i="17"/>
  <c r="I7" i="17"/>
  <c r="I8" i="17"/>
  <c r="I9" i="17"/>
  <c r="I10" i="17"/>
  <c r="I11" i="17"/>
  <c r="I12" i="17"/>
  <c r="I13" i="17"/>
  <c r="I14" i="17"/>
  <c r="I15" i="17"/>
  <c r="I16" i="17"/>
  <c r="I17"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3" i="17"/>
  <c r="J3" i="17"/>
  <c r="O3" i="17" s="1"/>
  <c r="J4" i="17"/>
  <c r="O4" i="17" s="1"/>
  <c r="J5" i="17"/>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L2" i="17"/>
  <c r="M2" i="17" s="1"/>
  <c r="K2" i="17"/>
  <c r="J2" i="17"/>
  <c r="O2" i="17" s="1"/>
  <c r="I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<sst xmlns="http://schemas.openxmlformats.org/spreadsheetml/2006/main" count="11136" uniqueCount="6227">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</sst>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quot;$&quot;#,##0.00"/>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applyAlignment="1">
      <alignment horizontal="left"/>
    </xf>
  </cellXfs>
  <cellStyles count="1">
    <cellStyle name="Normal" xfId="0" builtinId="0"/>
  </cellStyles>
  <dxfs count="19">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color theme="1"/>
      </font>
      <border>
        <bottom style="thin">
          <color theme="8"/>
        </bottom>
        <vertical/>
        <horizontal/>
      </border>
    </dxf>
    <dxf>
      <font>
        <color theme="1"/>
      </font>
      <fill>
        <patternFill>
          <bgColor theme="8" tint="0.79998168889431442"/>
        </patternFill>
      </fill>
      <border>
        <left style="thin">
          <color theme="8"/>
        </left>
        <right style="thin">
          <color theme="8"/>
        </right>
        <top style="thin">
          <color theme="8"/>
        </top>
        <bottom style="thin">
          <color theme="8"/>
        </bottom>
        <vertical/>
        <horizontal/>
      </border>
    </dxf>
    <dxf>
      <font>
        <b/>
        <sz val="11"/>
        <color theme="1"/>
      </font>
      <border>
        <vertical/>
        <horizontal/>
      </border>
    </dxf>
    <dxf>
      <font>
        <b val="0"/>
        <i val="0"/>
        <color theme="1"/>
      </font>
      <fill>
        <patternFill>
          <bgColor theme="8" tint="0.79998168889431442"/>
        </patternFill>
      </fill>
      <border>
        <left style="thin">
          <color theme="8"/>
        </left>
        <right style="thin">
          <color theme="8"/>
        </right>
        <top style="thin">
          <color theme="8"/>
        </top>
        <bottom style="thin">
          <color theme="8"/>
        </bottom>
        <vertical/>
        <horizontal/>
      </border>
    </dxf>
    <dxf>
      <font>
        <b/>
        <i val="0"/>
      </font>
    </dxf>
    <dxf>
      <font>
        <b/>
        <i val="0"/>
        <color theme="1"/>
      </font>
      <border>
        <bottom style="thin">
          <color theme="4"/>
        </bottom>
        <vertical/>
        <horizontal/>
      </border>
    </dxf>
    <dxf>
      <font>
        <b val="0"/>
        <i val="0"/>
        <strike val="0"/>
        <color theme="4"/>
      </font>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Medium9">
    <tableStyle name="My Blue Style" pivot="0" table="0" count="11" xr9:uid="{98645A75-90D8-E840-A8F6-ED6B8555B162}">
      <tableStyleElement type="wholeTable" dxfId="18"/>
      <tableStyleElement type="headerRow" dxfId="17"/>
      <tableStyleElement type="firstColumnStripe" dxfId="16"/>
    </tableStyle>
    <tableStyle name="My Blue Style timeline" pivot="0" table="0" count="9" xr9:uid="{6427B2FA-F7F1-064B-92B2-17F4C0ED00A9}">
      <tableStyleElement type="wholeTable" dxfId="15"/>
      <tableStyleElement type="headerRow" dxfId="14"/>
    </tableStyle>
    <tableStyle name="SlicerStyleDark5 2" pivot="0" table="0" count="10" xr9:uid="{599D3DD4-1E0F-AB44-941F-F5A92C320C39}">
      <tableStyleElement type="wholeTable" dxfId="13"/>
      <tableStyleElement type="headerRow" dxfId="12"/>
    </tableStyle>
  </tableStyles>
  <colors>
    <mruColors>
      <color rgb="FF2D84ED"/>
      <color rgb="FFB7E4EF"/>
      <color rgb="FF3583EC"/>
      <color rgb="FFE865D7"/>
      <color rgb="FFE7B9E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 Blue Style">
        <x14:slicerStyle name="My Blue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My Blue Styl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 Sales!Total Sales</c:name>
    <c:fmtId val="8"/>
  </c:pivotSource>
  <c:chart>
    <c:title>
      <c:tx>
        <c:rich>
          <a:bodyPr rot="0" spcFirstLastPara="1" vertOverflow="ellipsis" vert="horz" wrap="square" anchor="ctr" anchorCtr="1"/>
          <a:lstStyle/>
          <a:p>
            <a:pPr>
              <a:defRPr sz="2000" b="0" i="0" u="none" strike="noStrike" kern="1200" spc="0" baseline="0">
                <a:solidFill>
                  <a:schemeClr val="accent1"/>
                </a:solidFill>
                <a:latin typeface="+mn-lt"/>
                <a:ea typeface="+mn-ea"/>
                <a:cs typeface="+mn-cs"/>
              </a:defRPr>
            </a:pPr>
            <a:r>
              <a:rPr lang="en-US" sz="2000"/>
              <a:t>Total Sales Over Time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BCD-0649-970F-FD1BAC62FD7E}"/>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6BCD-0649-970F-FD1BAC62FD7E}"/>
            </c:ext>
          </c:extLst>
        </c:ser>
        <c:ser>
          <c:idx val="2"/>
          <c:order val="2"/>
          <c:tx>
            <c:strRef>
              <c:f>'Total Sales'!$E$3:$E$4</c:f>
              <c:strCache>
                <c:ptCount val="1"/>
                <c:pt idx="0">
                  <c:v>Liberica</c:v>
                </c:pt>
              </c:strCache>
            </c:strRef>
          </c:tx>
          <c:spPr>
            <a:ln w="28575" cap="rnd">
              <a:solidFill>
                <a:schemeClr val="bg2">
                  <a:lumMod val="50000"/>
                </a:schemeClr>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6BCD-0649-970F-FD1BAC62FD7E}"/>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6BCD-0649-970F-FD1BAC62FD7E}"/>
            </c:ext>
          </c:extLst>
        </c:ser>
        <c:dLbls>
          <c:showLegendKey val="0"/>
          <c:showVal val="0"/>
          <c:showCatName val="0"/>
          <c:showSerName val="0"/>
          <c:showPercent val="0"/>
          <c:showBubbleSize val="0"/>
        </c:dLbls>
        <c:smooth val="0"/>
        <c:axId val="1949579263"/>
        <c:axId val="1949570751"/>
      </c:lineChart>
      <c:catAx>
        <c:axId val="194957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949570751"/>
        <c:crosses val="autoZero"/>
        <c:auto val="1"/>
        <c:lblAlgn val="ctr"/>
        <c:lblOffset val="100"/>
        <c:noMultiLvlLbl val="0"/>
      </c:catAx>
      <c:valAx>
        <c:axId val="194957075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100" b="0" i="0" u="none" strike="noStrike" kern="1200" baseline="0">
                    <a:solidFill>
                      <a:schemeClr val="accent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94957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7E4EF"/>
    </a:solidFill>
    <a:ln w="9525" cap="flat" cmpd="sng" algn="ctr">
      <a:solidFill>
        <a:schemeClr val="tx1">
          <a:lumMod val="15000"/>
          <a:lumOff val="85000"/>
        </a:schemeClr>
      </a:solidFill>
      <a:round/>
    </a:ln>
    <a:effectLst/>
  </c:spPr>
  <c:txPr>
    <a:bodyPr/>
    <a:lstStyle/>
    <a:p>
      <a:pPr>
        <a:defRPr sz="11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[coffeeSalesDashboard.xlsx]Top5Customers!Total Sales</c:name>
    <c:fmtId val="17"/>
  </c:pivotSource>
  <c:chart>
    <c:title>
      <c:tx>
        <c:rich>
          <a:bodyPr rot="0" spcFirstLastPara="1" vertOverflow="ellipsis" vert="horz" wrap="square" anchor="ctr" anchorCtr="1"/>
          <a:lstStyle/>
          <a:p>
            <a:pPr>
              <a:defRPr sz="2000" b="0" i="0" u="none" strike="noStrike" kern="1200" spc="0" baseline="0">
                <a:solidFill>
                  <a:schemeClr val="accent1"/>
                </a:solidFill>
                <a:latin typeface="+mn-lt"/>
                <a:ea typeface="+mn-ea"/>
                <a:cs typeface="+mn-cs"/>
              </a:defRPr>
            </a:pPr>
            <a:r>
              <a:rPr lang="en-US" sz="2000"/>
              <a:t>Top 5 Customers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A5A-CF4A-A853-D72BB268A75E}"/>
            </c:ext>
          </c:extLst>
        </c:ser>
        <c:dLbls>
          <c:dLblPos val="outEnd"/>
          <c:showLegendKey val="0"/>
          <c:showVal val="1"/>
          <c:showCatName val="0"/>
          <c:showSerName val="0"/>
          <c:showPercent val="0"/>
          <c:showBubbleSize val="0"/>
        </c:dLbls>
        <c:gapWidth val="182"/>
        <c:axId val="1627442687"/>
        <c:axId val="2094414271"/>
      </c:barChart>
      <c:catAx>
        <c:axId val="162744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2094414271"/>
        <c:crosses val="autoZero"/>
        <c:auto val="1"/>
        <c:lblAlgn val="ctr"/>
        <c:lblOffset val="100"/>
        <c:noMultiLvlLbl val="0"/>
      </c:catAx>
      <c:valAx>
        <c:axId val="2094414271"/>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62744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7E4EF"/>
    </a:solidFill>
    <a:ln w="9525" cap="flat" cmpd="sng" algn="ctr">
      <a:solidFill>
        <a:schemeClr val="tx1">
          <a:lumMod val="15000"/>
          <a:lumOff val="85000"/>
        </a:schemeClr>
      </a:solidFill>
      <a:round/>
    </a:ln>
    <a:effectLst/>
  </c:spPr>
  <c:txPr>
    <a:bodyPr/>
    <a:lstStyle/>
    <a:p>
      <a:pPr>
        <a:defRPr sz="11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[coffeeSalesDashboard.xlsx]CountryBarChart!PivotTable4</c:name>
    <c:fmtId val="5"/>
  </c:pivotSource>
  <c:chart>
    <c:title>
      <c:tx>
        <c:rich>
          <a:bodyPr rot="0" spcFirstLastPara="1" vertOverflow="ellipsis" vert="horz" wrap="square" anchor="ctr" anchorCtr="1"/>
          <a:lstStyle/>
          <a:p>
            <a:pPr>
              <a:defRPr sz="1320" b="0" i="0" u="none" strike="noStrike" kern="1200" spc="0" baseline="0">
                <a:solidFill>
                  <a:schemeClr val="accent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CountryBarChart!$A$5:$A$8</c:f>
              <c:strCache>
                <c:ptCount val="3"/>
                <c:pt idx="0">
                  <c:v>United Kingdom</c:v>
                </c:pt>
                <c:pt idx="1">
                  <c:v>Ireland</c:v>
                </c:pt>
                <c:pt idx="2">
                  <c:v>United States</c:v>
                </c:pt>
              </c:strCache>
            </c:strRef>
          </c:cat>
          <c:val>
            <c:numRef>
              <c:f>CountryBarChart!$B$5:$B$8</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B00-BD4E-BE80-488B101938E7}"/>
            </c:ext>
          </c:extLst>
        </c:ser>
        <c:dLbls>
          <c:dLblPos val="outEnd"/>
          <c:showLegendKey val="0"/>
          <c:showVal val="1"/>
          <c:showCatName val="0"/>
          <c:showSerName val="0"/>
          <c:showPercent val="0"/>
          <c:showBubbleSize val="0"/>
        </c:dLbls>
        <c:gapWidth val="182"/>
        <c:axId val="1635223743"/>
        <c:axId val="1635228671"/>
      </c:barChart>
      <c:catAx>
        <c:axId val="163522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635228671"/>
        <c:crosses val="autoZero"/>
        <c:auto val="1"/>
        <c:lblAlgn val="ctr"/>
        <c:lblOffset val="100"/>
        <c:noMultiLvlLbl val="0"/>
      </c:catAx>
      <c:valAx>
        <c:axId val="1635228671"/>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63522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7E4EF"/>
    </a:solidFill>
    <a:ln w="9525" cap="flat" cmpd="sng" algn="ctr">
      <a:solidFill>
        <a:schemeClr val="tx1">
          <a:lumMod val="15000"/>
          <a:lumOff val="85000"/>
        </a:schemeClr>
      </a:solidFill>
      <a:round/>
    </a:ln>
    <a:effectLst/>
  </c:spPr>
  <c:txPr>
    <a:bodyPr/>
    <a:lstStyle/>
    <a:p>
      <a:pPr>
        <a:defRPr sz="11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 Sales!Total Sales</c:name>
    <c:fmtId val="11"/>
  </c:pivotSource>
  <c:chart>
    <c:title>
      <c:tx>
        <c:rich>
          <a:bodyPr rot="0" spcFirstLastPara="1" vertOverflow="ellipsis" vert="horz" wrap="square" anchor="ctr" anchorCtr="1"/>
          <a:lstStyle/>
          <a:p>
            <a:pPr>
              <a:defRPr sz="2000" b="0" i="0" u="none" strike="noStrike" kern="1200" spc="0" baseline="0">
                <a:solidFill>
                  <a:schemeClr val="accent1"/>
                </a:solidFill>
                <a:latin typeface="+mn-lt"/>
                <a:ea typeface="+mn-ea"/>
                <a:cs typeface="+mn-cs"/>
              </a:defRPr>
            </a:pPr>
            <a:r>
              <a:rPr lang="en-US" sz="2000"/>
              <a:t>Total Sales Over Time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78A-F64B-AD37-149A4386F0C2}"/>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78A-F64B-AD37-149A4386F0C2}"/>
            </c:ext>
          </c:extLst>
        </c:ser>
        <c:ser>
          <c:idx val="2"/>
          <c:order val="2"/>
          <c:tx>
            <c:strRef>
              <c:f>'Total Sales'!$E$3:$E$4</c:f>
              <c:strCache>
                <c:ptCount val="1"/>
                <c:pt idx="0">
                  <c:v>Liberica</c:v>
                </c:pt>
              </c:strCache>
            </c:strRef>
          </c:tx>
          <c:spPr>
            <a:ln w="28575" cap="rnd">
              <a:solidFill>
                <a:schemeClr val="bg2">
                  <a:lumMod val="50000"/>
                </a:schemeClr>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78A-F64B-AD37-149A4386F0C2}"/>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78A-F64B-AD37-149A4386F0C2}"/>
            </c:ext>
          </c:extLst>
        </c:ser>
        <c:dLbls>
          <c:showLegendKey val="0"/>
          <c:showVal val="0"/>
          <c:showCatName val="0"/>
          <c:showSerName val="0"/>
          <c:showPercent val="0"/>
          <c:showBubbleSize val="0"/>
        </c:dLbls>
        <c:smooth val="0"/>
        <c:axId val="1949579263"/>
        <c:axId val="1949570751"/>
      </c:lineChart>
      <c:catAx>
        <c:axId val="194957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949570751"/>
        <c:crosses val="autoZero"/>
        <c:auto val="1"/>
        <c:lblAlgn val="ctr"/>
        <c:lblOffset val="100"/>
        <c:noMultiLvlLbl val="0"/>
      </c:catAx>
      <c:valAx>
        <c:axId val="194957075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100" b="0" i="0" u="none" strike="noStrike" kern="1200" baseline="0">
                    <a:solidFill>
                      <a:schemeClr val="accent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94957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7E4EF"/>
    </a:solidFill>
    <a:ln w="9525" cap="flat" cmpd="sng" algn="ctr">
      <a:solidFill>
        <a:schemeClr val="tx1">
          <a:lumMod val="15000"/>
          <a:lumOff val="85000"/>
        </a:schemeClr>
      </a:solidFill>
      <a:round/>
    </a:ln>
    <a:effectLst/>
  </c:spPr>
  <c:txPr>
    <a:bodyPr/>
    <a:lstStyle/>
    <a:p>
      <a:pPr>
        <a:defRPr sz="11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[coffeeSalesDashboard.xlsx]CountryBarChart!PivotTable4</c:name>
    <c:fmtId val="0"/>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CountryBarChart!$A$5:$A$8</c:f>
              <c:strCache>
                <c:ptCount val="3"/>
                <c:pt idx="0">
                  <c:v>United Kingdom</c:v>
                </c:pt>
                <c:pt idx="1">
                  <c:v>Ireland</c:v>
                </c:pt>
                <c:pt idx="2">
                  <c:v>United States</c:v>
                </c:pt>
              </c:strCache>
            </c:strRef>
          </c:cat>
          <c:val>
            <c:numRef>
              <c:f>CountryBarChart!$B$5:$B$8</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D4BF-0947-AAA8-CD6E579DF4F1}"/>
            </c:ext>
          </c:extLst>
        </c:ser>
        <c:dLbls>
          <c:dLblPos val="outEnd"/>
          <c:showLegendKey val="0"/>
          <c:showVal val="1"/>
          <c:showCatName val="0"/>
          <c:showSerName val="0"/>
          <c:showPercent val="0"/>
          <c:showBubbleSize val="0"/>
        </c:dLbls>
        <c:gapWidth val="182"/>
        <c:axId val="1635223743"/>
        <c:axId val="1635228671"/>
      </c:barChart>
      <c:catAx>
        <c:axId val="163522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635228671"/>
        <c:crosses val="autoZero"/>
        <c:auto val="1"/>
        <c:lblAlgn val="ctr"/>
        <c:lblOffset val="100"/>
        <c:noMultiLvlLbl val="0"/>
      </c:catAx>
      <c:valAx>
        <c:axId val="1635228671"/>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63522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7E4EF"/>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[coffeeSalesDashboard.xlsx]Top5Customers!Total Sales</c:name>
    <c:fmtId val="19"/>
  </c:pivotSource>
  <c:chart>
    <c:title>
      <c:tx>
        <c:rich>
          <a:bodyPr rot="0" spcFirstLastPara="1" vertOverflow="ellipsis" vert="horz" wrap="square" anchor="ctr" anchorCtr="1"/>
          <a:lstStyle/>
          <a:p>
            <a:pPr>
              <a:defRPr sz="2000" b="0" i="0" u="none" strike="noStrike" kern="1200" spc="0" baseline="0">
                <a:solidFill>
                  <a:schemeClr val="accent1"/>
                </a:solidFill>
                <a:latin typeface="+mn-lt"/>
                <a:ea typeface="+mn-ea"/>
                <a:cs typeface="+mn-cs"/>
              </a:defRPr>
            </a:pPr>
            <a:r>
              <a:rPr lang="en-US" sz="2000"/>
              <a:t>Top 5 Customers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B0C-4544-9F59-8EC26C1BDFA3}"/>
            </c:ext>
          </c:extLst>
        </c:ser>
        <c:dLbls>
          <c:dLblPos val="outEnd"/>
          <c:showLegendKey val="0"/>
          <c:showVal val="1"/>
          <c:showCatName val="0"/>
          <c:showSerName val="0"/>
          <c:showPercent val="0"/>
          <c:showBubbleSize val="0"/>
        </c:dLbls>
        <c:gapWidth val="182"/>
        <c:axId val="1627442687"/>
        <c:axId val="2094414271"/>
      </c:barChart>
      <c:catAx>
        <c:axId val="162744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2094414271"/>
        <c:crosses val="autoZero"/>
        <c:auto val="1"/>
        <c:lblAlgn val="ctr"/>
        <c:lblOffset val="100"/>
        <c:noMultiLvlLbl val="0"/>
      </c:catAx>
      <c:valAx>
        <c:axId val="2094414271"/>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62744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7E4EF"/>
    </a:solidFill>
    <a:ln w="9525" cap="flat" cmpd="sng" algn="ctr">
      <a:solidFill>
        <a:schemeClr val="tx1">
          <a:lumMod val="15000"/>
          <a:lumOff val="85000"/>
        </a:schemeClr>
      </a:solidFill>
      <a:round/>
    </a:ln>
    <a:effectLst/>
  </c:spPr>
  <c:txPr>
    <a:bodyPr/>
    <a:lstStyle/>
    <a:p>
      <a:pPr>
        <a:defRPr sz="1100">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25400</xdr:colOff>
      <xdr:row>1</xdr:row>
      <xdr:rowOff>12700</xdr:rowOff>
    </xdr:from>
    <xdr:to>
      <xdr:col>22</xdr:col>
      <xdr:colOff>11441</xdr:colOff>
      <xdr:row>5</xdr:row>
      <xdr:rowOff>0</xdr:rowOff>
    </xdr:to>
    <xdr:sp macro="" textlink="">
      <xdr:nvSpPr>
        <xdr:cNvPr id="2" name="Rectangle 1">
          <a:extLst>
            <a:ext uri="{FF2B5EF4-FFF2-40B4-BE49-F238E27FC236}">
              <a16:creationId xmlns:a16="http://schemas.microsoft.com/office/drawing/2014/main" id="{3E36BEBF-360B-81AD-D320-32CD1DDEA106}"/>
            </a:ext>
          </a:extLst>
        </xdr:cNvPr>
        <xdr:cNvSpPr/>
      </xdr:nvSpPr>
      <xdr:spPr>
        <a:xfrm>
          <a:off x="162697" y="81349"/>
          <a:ext cx="15912528" cy="765318"/>
        </a:xfrm>
        <a:prstGeom prst="rect">
          <a:avLst/>
        </a:prstGeom>
        <a:solidFill>
          <a:schemeClr val="accent5">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0">
              <a:solidFill>
                <a:schemeClr val="bg1"/>
              </a:solidFill>
              <a:latin typeface="+mn-lt"/>
            </a:rPr>
            <a:t>COFFEE SALES DASHBOARD</a:t>
          </a:r>
        </a:p>
      </xdr:txBody>
    </xdr:sp>
    <xdr:clientData/>
  </xdr:twoCellAnchor>
  <xdr:twoCellAnchor>
    <xdr:from>
      <xdr:col>0</xdr:col>
      <xdr:colOff>132360</xdr:colOff>
      <xdr:row>16</xdr:row>
      <xdr:rowOff>25723</xdr:rowOff>
    </xdr:from>
    <xdr:to>
      <xdr:col>13</xdr:col>
      <xdr:colOff>11651</xdr:colOff>
      <xdr:row>47</xdr:row>
      <xdr:rowOff>185770</xdr:rowOff>
    </xdr:to>
    <xdr:graphicFrame macro="">
      <xdr:nvGraphicFramePr>
        <xdr:cNvPr id="3" name="Chart 2">
          <a:extLst>
            <a:ext uri="{FF2B5EF4-FFF2-40B4-BE49-F238E27FC236}">
              <a16:creationId xmlns:a16="http://schemas.microsoft.com/office/drawing/2014/main" id="{573A0DC0-424F-C749-A9B1-4EFF82A55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23576</xdr:colOff>
      <xdr:row>6</xdr:row>
      <xdr:rowOff>0</xdr:rowOff>
    </xdr:from>
    <xdr:to>
      <xdr:col>13</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C8543A33-BA66-DD4C-BF2A-FB19D4925D4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64687" y="846667"/>
              <a:ext cx="9894519" cy="16328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5589</xdr:colOff>
      <xdr:row>10</xdr:row>
      <xdr:rowOff>894</xdr:rowOff>
    </xdr:from>
    <xdr:to>
      <xdr:col>17</xdr:col>
      <xdr:colOff>812343</xdr:colOff>
      <xdr:row>15</xdr:row>
      <xdr:rowOff>11652</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4A01ADCA-E8EC-7043-82D1-DF289E1322C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205906" y="1573275"/>
              <a:ext cx="3286278" cy="917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133626</xdr:colOff>
      <xdr:row>6</xdr:row>
      <xdr:rowOff>14924</xdr:rowOff>
    </xdr:from>
    <xdr:to>
      <xdr:col>22</xdr:col>
      <xdr:colOff>11441</xdr:colOff>
      <xdr:row>9</xdr:row>
      <xdr:rowOff>96947</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DF66DB0B-717B-0E48-9705-E70FF45A1A4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192832" y="861591"/>
              <a:ext cx="5945593" cy="626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134563</xdr:colOff>
      <xdr:row>10</xdr:row>
      <xdr:rowOff>5007</xdr:rowOff>
    </xdr:from>
    <xdr:to>
      <xdr:col>22</xdr:col>
      <xdr:colOff>11441</xdr:colOff>
      <xdr:row>15</xdr:row>
      <xdr:rowOff>11651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6CA9C14A-29ED-9A46-8B1C-22938664B59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640912" y="1577388"/>
              <a:ext cx="2497513" cy="913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6812</xdr:colOff>
      <xdr:row>28</xdr:row>
      <xdr:rowOff>180485</xdr:rowOff>
    </xdr:from>
    <xdr:to>
      <xdr:col>22</xdr:col>
      <xdr:colOff>34324</xdr:colOff>
      <xdr:row>47</xdr:row>
      <xdr:rowOff>163519</xdr:rowOff>
    </xdr:to>
    <xdr:graphicFrame macro="">
      <xdr:nvGraphicFramePr>
        <xdr:cNvPr id="8" name="Chart 7">
          <a:extLst>
            <a:ext uri="{FF2B5EF4-FFF2-40B4-BE49-F238E27FC236}">
              <a16:creationId xmlns:a16="http://schemas.microsoft.com/office/drawing/2014/main" id="{10A381DA-D055-E149-A688-9D50755EF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14110</xdr:colOff>
      <xdr:row>16</xdr:row>
      <xdr:rowOff>14112</xdr:rowOff>
    </xdr:from>
    <xdr:to>
      <xdr:col>22</xdr:col>
      <xdr:colOff>14111</xdr:colOff>
      <xdr:row>28</xdr:row>
      <xdr:rowOff>14111</xdr:rowOff>
    </xdr:to>
    <xdr:graphicFrame macro="">
      <xdr:nvGraphicFramePr>
        <xdr:cNvPr id="10" name="Chart 9">
          <a:extLst>
            <a:ext uri="{FF2B5EF4-FFF2-40B4-BE49-F238E27FC236}">
              <a16:creationId xmlns:a16="http://schemas.microsoft.com/office/drawing/2014/main" id="{E703F68D-C624-8D4B-AD67-CCE6929FE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723901</xdr:colOff>
      <xdr:row>12</xdr:row>
      <xdr:rowOff>76201</xdr:rowOff>
    </xdr:from>
    <xdr:to>
      <xdr:col>16</xdr:col>
      <xdr:colOff>279401</xdr:colOff>
      <xdr:row>33</xdr:row>
      <xdr:rowOff>50801</xdr:rowOff>
    </xdr:to>
    <xdr:graphicFrame macro="">
      <xdr:nvGraphicFramePr>
        <xdr:cNvPr id="8" name="Chart 7">
          <a:extLst>
            <a:ext uri="{FF2B5EF4-FFF2-40B4-BE49-F238E27FC236}">
              <a16:creationId xmlns:a16="http://schemas.microsoft.com/office/drawing/2014/main" id="{193A4070-4CEC-3844-B486-845A0EFBE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635000</xdr:colOff>
      <xdr:row>2</xdr:row>
      <xdr:rowOff>88900</xdr:rowOff>
    </xdr:from>
    <xdr:to>
      <xdr:col>17</xdr:col>
      <xdr:colOff>492182</xdr:colOff>
      <xdr:row>11</xdr:row>
      <xdr:rowOff>7257</xdr:rowOff>
    </xdr:to>
    <mc:AlternateContent xmlns:mc="http://schemas.openxmlformats.org/markup-compatibility/2006" xmlns:tsle="http://schemas.microsoft.com/office/drawing/2012/timeslicer">
      <mc:Choice Requires="tsle">
        <xdr:graphicFrame macro="">
          <xdr:nvGraphicFramePr>
            <xdr:cNvPr id="9" name="Order Date 1">
              <a:extLst>
                <a:ext uri="{FF2B5EF4-FFF2-40B4-BE49-F238E27FC236}">
                  <a16:creationId xmlns:a16="http://schemas.microsoft.com/office/drawing/2014/main" id="{7099D86E-1FB1-8C4F-A042-D84FF324F11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709355" y="457610"/>
              <a:ext cx="8004267" cy="1577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13074</xdr:colOff>
      <xdr:row>17</xdr:row>
      <xdr:rowOff>158620</xdr:rowOff>
    </xdr:from>
    <xdr:to>
      <xdr:col>21</xdr:col>
      <xdr:colOff>21933</xdr:colOff>
      <xdr:row>22</xdr:row>
      <xdr:rowOff>154747</xdr:rowOff>
    </xdr:to>
    <mc:AlternateContent xmlns:mc="http://schemas.openxmlformats.org/markup-compatibility/2006" xmlns:a14="http://schemas.microsoft.com/office/drawing/2010/main">
      <mc:Choice Requires="a14">
        <xdr:graphicFrame macro="">
          <xdr:nvGraphicFramePr>
            <xdr:cNvPr id="10" name="Size 1">
              <a:extLst>
                <a:ext uri="{FF2B5EF4-FFF2-40B4-BE49-F238E27FC236}">
                  <a16:creationId xmlns:a16="http://schemas.microsoft.com/office/drawing/2014/main" id="{9717843B-D705-944C-8F81-2DDD9A561A5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7280977" y="3292652"/>
              <a:ext cx="3286278" cy="917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14</xdr:row>
      <xdr:rowOff>0</xdr:rowOff>
    </xdr:from>
    <xdr:to>
      <xdr:col>24</xdr:col>
      <xdr:colOff>210110</xdr:colOff>
      <xdr:row>17</xdr:row>
      <xdr:rowOff>73244</xdr:rowOff>
    </xdr:to>
    <mc:AlternateContent xmlns:mc="http://schemas.openxmlformats.org/markup-compatibility/2006" xmlns:a14="http://schemas.microsoft.com/office/drawing/2010/main">
      <mc:Choice Requires="a14">
        <xdr:graphicFrame macro="">
          <xdr:nvGraphicFramePr>
            <xdr:cNvPr id="11" name="Roast Type Name 1">
              <a:extLst>
                <a:ext uri="{FF2B5EF4-FFF2-40B4-BE49-F238E27FC236}">
                  <a16:creationId xmlns:a16="http://schemas.microsoft.com/office/drawing/2014/main" id="{3CEC271D-5AAD-384C-B89E-5EFBEFF3FAA1}"/>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7267903" y="2580968"/>
              <a:ext cx="5945593" cy="626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170660</xdr:colOff>
      <xdr:row>17</xdr:row>
      <xdr:rowOff>162733</xdr:rowOff>
    </xdr:from>
    <xdr:to>
      <xdr:col>24</xdr:col>
      <xdr:colOff>210109</xdr:colOff>
      <xdr:row>22</xdr:row>
      <xdr:rowOff>154746</xdr:rowOff>
    </xdr:to>
    <mc:AlternateContent xmlns:mc="http://schemas.openxmlformats.org/markup-compatibility/2006" xmlns:a14="http://schemas.microsoft.com/office/drawing/2010/main">
      <mc:Choice Requires="a14">
        <xdr:graphicFrame macro="">
          <xdr:nvGraphicFramePr>
            <xdr:cNvPr id="12" name="Loyalty Card 1">
              <a:extLst>
                <a:ext uri="{FF2B5EF4-FFF2-40B4-BE49-F238E27FC236}">
                  <a16:creationId xmlns:a16="http://schemas.microsoft.com/office/drawing/2014/main" id="{62E8A988-FC95-1D4F-88D8-1C856CD886A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20715983" y="3296765"/>
              <a:ext cx="2497513" cy="913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604520</xdr:colOff>
      <xdr:row>9</xdr:row>
      <xdr:rowOff>187960</xdr:rowOff>
    </xdr:from>
    <xdr:to>
      <xdr:col>6</xdr:col>
      <xdr:colOff>360680</xdr:colOff>
      <xdr:row>24</xdr:row>
      <xdr:rowOff>35560</xdr:rowOff>
    </xdr:to>
    <xdr:graphicFrame macro="">
      <xdr:nvGraphicFramePr>
        <xdr:cNvPr id="2" name="Chart 1">
          <a:extLst>
            <a:ext uri="{FF2B5EF4-FFF2-40B4-BE49-F238E27FC236}">
              <a16:creationId xmlns:a16="http://schemas.microsoft.com/office/drawing/2014/main" id="{3BF82835-1861-C7E7-E0CC-940E26667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xdr:colOff>
      <xdr:row>11</xdr:row>
      <xdr:rowOff>132080</xdr:rowOff>
    </xdr:from>
    <xdr:to>
      <xdr:col>5</xdr:col>
      <xdr:colOff>1330961</xdr:colOff>
      <xdr:row>27</xdr:row>
      <xdr:rowOff>138821</xdr:rowOff>
    </xdr:to>
    <xdr:graphicFrame macro="">
      <xdr:nvGraphicFramePr>
        <xdr:cNvPr id="6" name="Chart 5">
          <a:extLst>
            <a:ext uri="{FF2B5EF4-FFF2-40B4-BE49-F238E27FC236}">
              <a16:creationId xmlns:a16="http://schemas.microsoft.com/office/drawing/2014/main" id="{1D00024C-CB6D-5B40-B897-3BEE5E739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39.603148032409" createdVersion="8" refreshedVersion="8" minRefreshableVersion="3" recordCount="1000" xr:uid="{0EED2F76-3EFB-BE47-9898-D05FFD69E7C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ntainsMixedTypes="1" containsNumber="1" containsInteger="1" minValue="0" maxValue="0" count="4">
        <s v="United States"/>
        <s v="Ireland"/>
        <s v="United Kingdom"/>
        <n v="0"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487076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61FE56-28A1-4A45-B418-9E22F9963BBA}" name="Total Sales" cacheId="8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0" baseItem="0" numFmtId="3"/>
  </dataFields>
  <chartFormats count="13">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 chart="8" format="13" series="1">
      <pivotArea type="data" outline="0" fieldPosition="0">
        <references count="1">
          <reference field="4294967294" count="1" selected="0">
            <x v="0"/>
          </reference>
        </references>
      </pivotArea>
    </chartFormat>
    <chartFormat chart="11" format="18" series="1">
      <pivotArea type="data" outline="0" fieldPosition="0">
        <references count="2">
          <reference field="4294967294" count="1" selected="0">
            <x v="0"/>
          </reference>
          <reference field="13" count="1" selected="0">
            <x v="0"/>
          </reference>
        </references>
      </pivotArea>
    </chartFormat>
    <chartFormat chart="11" format="19" series="1">
      <pivotArea type="data" outline="0" fieldPosition="0">
        <references count="2">
          <reference field="4294967294" count="1" selected="0">
            <x v="0"/>
          </reference>
          <reference field="13" count="1" selected="0">
            <x v="1"/>
          </reference>
        </references>
      </pivotArea>
    </chartFormat>
    <chartFormat chart="11" format="20" series="1">
      <pivotArea type="data" outline="0" fieldPosition="0">
        <references count="2">
          <reference field="4294967294" count="1" selected="0">
            <x v="0"/>
          </reference>
          <reference field="13" count="1" selected="0">
            <x v="2"/>
          </reference>
        </references>
      </pivotArea>
    </chartFormat>
    <chartFormat chart="11" format="2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9EFFFB-8DC0-1E4F-A892-972081D99650}" name="PivotTable4"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8"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5">
        <item m="1" x="3"/>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7" showAll="0"/>
    <pivotField dataField="1" numFmtId="167" showAll="0"/>
    <pivotField showAll="0"/>
    <pivotField showAll="0">
      <items count="4">
        <item x="2"/>
        <item x="1"/>
        <item x="0"/>
        <item t="default"/>
      </items>
    </pivotField>
    <pivotField showAll="0"/>
    <pivotField showAll="0" defaultSubtotal="0"/>
    <pivotField showAll="0" defaultSubtotal="0">
      <items count="6">
        <item x="0"/>
        <item x="1"/>
        <item x="2"/>
        <item x="3"/>
        <item x="4"/>
        <item x="5"/>
      </items>
    </pivotField>
  </pivotFields>
  <rowFields count="1">
    <field x="7"/>
  </rowFields>
  <rowItems count="4">
    <i>
      <x v="2"/>
    </i>
    <i>
      <x v="1"/>
    </i>
    <i>
      <x v="3"/>
    </i>
    <i t="grand">
      <x/>
    </i>
  </rowItems>
  <colItems count="1">
    <i/>
  </colItems>
  <dataFields count="1">
    <dataField name="Sum of Sales" fld="12" baseField="0" baseItem="0" numFmtId="168"/>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CC256D-A240-454F-9F2A-B4073DE918ED}" name="Total Sales" cacheId="8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1">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chartFormats count="2">
    <chartFormat chart="17"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731C327-F66E-B443-82C6-F48D9B45AAFC}" sourceName="Size">
  <pivotTables>
    <pivotTable tabId="18" name="Total Sales"/>
    <pivotTable tabId="24" name="Total Sales"/>
  </pivotTables>
  <data>
    <tabular pivotCacheId="148707698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6B90C26-04E2-984F-AA20-15FB91038D70}" sourceName="Roast Type Name">
  <pivotTables>
    <pivotTable tabId="18" name="Total Sales"/>
    <pivotTable tabId="24" name="Total Sales"/>
    <pivotTable tabId="22" name="PivotTable4"/>
  </pivotTables>
  <data>
    <tabular pivotCacheId="148707698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103D2D1-E4D0-E145-8150-933ED8FACFA3}" sourceName="Loyalty Card">
  <pivotTables>
    <pivotTable tabId="18" name="Total Sales"/>
    <pivotTable tabId="24" name="Total Sales"/>
  </pivotTables>
  <data>
    <tabular pivotCacheId="148707698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D5521FB-C30F-2143-A861-31593D73681C}" cache="Slicer_Size" caption="Size" columnCount="2" style="SlicerStyleDark5 2" rowHeight="230716"/>
  <slicer name="Roast Type Name" xr10:uid="{56E1EA28-4C86-584D-B9A9-AA66984C7E0E}" cache="Slicer_Roast_Type_Name" caption="Roast Type Name" columnCount="3" style="SlicerStyleDark5 2" rowHeight="230716"/>
  <slicer name="Loyalty Card" xr10:uid="{501332B6-2816-D84B-8AE6-735534EE96BF}" cache="Slicer_Loyalty_Card" caption="Loyalty Card" style="SlicerStyleDark5 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FB4115F-7287-3443-9E0E-9C49FDE5AEE5}" cache="Slicer_Size" caption="Size" columnCount="2" style="SlicerStyleDark5 2" rowHeight="230716"/>
  <slicer name="Roast Type Name 1" xr10:uid="{538A5418-ED77-9448-A55C-4BC854C2C909}" cache="Slicer_Roast_Type_Name" caption="Roast Type Name" columnCount="3" style="SlicerStyleDark5 2" rowHeight="230716"/>
  <slicer name="Loyalty Card 1" xr10:uid="{4B76F7BE-3863-2643-8698-3AA61A88DC57}" cache="Slicer_Loyalty_Card" caption="Loyalty Card" style="SlicerStyleDark5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DE90FA-832D-4044-A024-C0CF97A4FA9B}" name="Orders" displayName="Orders" ref="A1:P1001" totalsRowShown="0" headerRowDxfId="11">
  <autoFilter ref="A1:P1001" xr:uid="{E9DE90FA-832D-4044-A024-C0CF97A4FA9B}"/>
  <tableColumns count="16">
    <tableColumn id="1" xr3:uid="{B3A51787-6A5D-2C45-BDAF-5822100A52BD}" name="Order ID" dataDxfId="10"/>
    <tableColumn id="2" xr3:uid="{C4DAA490-C83C-4245-94D4-9235FA2A891A}" name="Order Date" dataDxfId="9"/>
    <tableColumn id="3" xr3:uid="{D96F3FE0-7D94-DD46-BA80-E2BEA4C8C975}" name="Customer ID" dataDxfId="8"/>
    <tableColumn id="4" xr3:uid="{0918A4AC-9410-7146-A119-DCFBD86081A7}" name="Product ID"/>
    <tableColumn id="5" xr3:uid="{CE4A9254-6449-CF4A-82DF-477891E6DD6A}" name="Quantity" dataDxfId="7"/>
    <tableColumn id="6" xr3:uid="{B3299C88-A41E-8545-9641-A5C277E95693}" name="Customer Name" dataDxfId="6">
      <calculatedColumnFormula>_xlfn.XLOOKUP(C2,customers!$A$1:$A$1001,customers!$B$1:$B$1001,0)</calculatedColumnFormula>
    </tableColumn>
    <tableColumn id="7" xr3:uid="{E18CEF02-CEB2-1541-B250-7E0442124901}" name="Email" dataDxfId="5">
      <calculatedColumnFormula>IF(_xlfn.XLOOKUP(C2,customers!$A$1:$A$1001,customers!$C$1:$C$1001,,0)=0,"",_xlfn.XLOOKUP(C2,customers!$A$1:$A$1001,customers!$C$1:$C$1001,,0))</calculatedColumnFormula>
    </tableColumn>
    <tableColumn id="8" xr3:uid="{9A8C1393-76FD-5843-94A9-6ACD8843A003}" name="Country" dataDxfId="4">
      <calculatedColumnFormula>_xlfn.XLOOKUP(C2,customers!$A$1:$A$1001,customers!$G$1:$G$1001,"",0)</calculatedColumnFormula>
    </tableColumn>
    <tableColumn id="9" xr3:uid="{669125F5-7B26-4C4C-92D2-8C61151D533C}" name="Coffee Type">
      <calculatedColumnFormula>INDEX(products!$A$1:$G$49,MATCH(orders!$D2,products!$A$1:$A$49,0),MATCH(orders!I$1,products!$A$1:$G$1,0))</calculatedColumnFormula>
    </tableColumn>
    <tableColumn id="10" xr3:uid="{8C3855DE-8A53-C84C-80FB-663A4CE273DA}" name="Roast Type">
      <calculatedColumnFormula>INDEX(products!$A$1:$G$49,MATCH(orders!$D2,products!$A$1:$A$49,0),MATCH(orders!J$1,products!$A$1:$G$1,0))</calculatedColumnFormula>
    </tableColumn>
    <tableColumn id="11" xr3:uid="{F1E58B7D-BC2A-E743-B638-A911857324AF}" name="Size" dataDxfId="3">
      <calculatedColumnFormula>INDEX(products!$A$1:$G$49,MATCH(orders!$D2,products!$A$1:$A$49,0),MATCH(orders!K$1,products!$A$1:$G$1,0))</calculatedColumnFormula>
    </tableColumn>
    <tableColumn id="12" xr3:uid="{2FE1D0C9-4ED7-3C4D-8A37-59E58EEB3896}" name="Unit Price" dataDxfId="2">
      <calculatedColumnFormula>INDEX(products!$A$1:$G$49,MATCH(orders!$D2,products!$A$1:$A$49,0),MATCH(orders!L$1,products!$A$1:$G$1,0))</calculatedColumnFormula>
    </tableColumn>
    <tableColumn id="13" xr3:uid="{B3A861E7-ECD6-5A47-85F4-C5AE679A45EB}" name="Sales" dataDxfId="1">
      <calculatedColumnFormula>L2*E2</calculatedColumnFormula>
    </tableColumn>
    <tableColumn id="14" xr3:uid="{52828601-393A-EB43-9381-34022C609B3C}" name="Coffee Type Name">
      <calculatedColumnFormula>IF(I2="Rob","Robusta",IF(I2="Exc","Excelsa",IF(I2="Ara","Arabica",IF(I2="Lib","Liberica",""))))</calculatedColumnFormula>
    </tableColumn>
    <tableColumn id="15" xr3:uid="{CD56B028-D29E-984C-8E1F-48DD077FC005}" name="Roast Type Name">
      <calculatedColumnFormula>IF(J2="M","Medium",IF(J2="L","Light",IF(J2="D","Dark","")))</calculatedColumnFormula>
    </tableColumn>
    <tableColumn id="16" xr3:uid="{63A094B2-DC33-3140-B3F5-C47945834C44}"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3F87162-E350-B04B-9CD5-73C089DB97E3}" sourceName="Order Date">
  <pivotTables>
    <pivotTable tabId="18" name="Total Sales"/>
    <pivotTable tabId="24" name="Total Sales"/>
  </pivotTables>
  <state minimalRefreshVersion="6" lastRefreshVersion="6" pivotCacheId="148707698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F2BF7E7-20AA-3647-92C9-7AF46CEA8628}" cache="NativeTimeline_Order_Date" caption="Order Date" level="2" selectionLevel="2" scrollPosition="2019-01-01T00:00:00" style="My Blue Styl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D1702A7-ECED-6548-B7A0-7C5C8F4FA002}" cache="NativeTimeline_Order_Date" caption="Order Date" level="2" selectionLevel="2" scrollPosition="2019-01-01T00:00:00" style="My Blue Styl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4625F-1873-8D48-A94C-4CAD4D002BFD}">
  <dimension ref="A1:A29"/>
  <sheetViews>
    <sheetView showGridLines="0" tabSelected="1" zoomScale="68" zoomScaleNormal="69" workbookViewId="0">
      <selection activeCell="AA20" sqref="AA20"/>
    </sheetView>
  </sheetViews>
  <sheetFormatPr baseColWidth="10" defaultRowHeight="15" x14ac:dyDescent="0.2"/>
  <cols>
    <col min="1" max="1" width="1.83203125" customWidth="1"/>
    <col min="14" max="14" width="1.83203125" customWidth="1"/>
    <col min="18" max="18" width="10.83203125" customWidth="1"/>
    <col min="19" max="19" width="1.83203125" customWidth="1"/>
  </cols>
  <sheetData>
    <row r="1" ht="5" customHeight="1" x14ac:dyDescent="0.2"/>
    <row r="6" ht="5" customHeight="1" x14ac:dyDescent="0.2"/>
    <row r="16" ht="10" customHeight="1" x14ac:dyDescent="0.2"/>
    <row r="29" ht="10" customHeight="1"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C8A61-45C7-F044-9DA7-9F343B3F4FB9}">
  <dimension ref="A3:G53"/>
  <sheetViews>
    <sheetView zoomScale="82" workbookViewId="0">
      <selection activeCell="A6" sqref="A6"/>
    </sheetView>
  </sheetViews>
  <sheetFormatPr baseColWidth="10" defaultRowHeight="15" x14ac:dyDescent="0.2"/>
  <cols>
    <col min="1" max="1" width="19.6640625" bestFit="1" customWidth="1"/>
    <col min="2" max="2" width="20.83203125" bestFit="1" customWidth="1"/>
    <col min="3" max="6" width="18.6640625" bestFit="1" customWidth="1"/>
    <col min="7" max="8" width="10.1640625" bestFit="1" customWidth="1"/>
  </cols>
  <sheetData>
    <row r="3" spans="1:7" x14ac:dyDescent="0.2">
      <c r="A3" s="6" t="s">
        <v>6225</v>
      </c>
      <c r="C3" s="6" t="s">
        <v>6196</v>
      </c>
    </row>
    <row r="4" spans="1:7" x14ac:dyDescent="0.2">
      <c r="A4" s="6" t="s">
        <v>6215</v>
      </c>
      <c r="B4" s="6" t="s">
        <v>6216</v>
      </c>
      <c r="C4" t="s">
        <v>6221</v>
      </c>
      <c r="D4" t="s">
        <v>6222</v>
      </c>
      <c r="E4" t="s">
        <v>6223</v>
      </c>
      <c r="F4" t="s">
        <v>6224</v>
      </c>
      <c r="G4" t="s">
        <v>6198</v>
      </c>
    </row>
    <row r="5" spans="1:7" x14ac:dyDescent="0.2">
      <c r="A5" t="s">
        <v>6199</v>
      </c>
      <c r="B5" t="s">
        <v>6203</v>
      </c>
      <c r="C5" s="7">
        <v>186.85499999999999</v>
      </c>
      <c r="D5" s="7">
        <v>305.97000000000003</v>
      </c>
      <c r="E5" s="7">
        <v>213.15999999999997</v>
      </c>
      <c r="F5" s="7">
        <v>123</v>
      </c>
      <c r="G5" s="7">
        <v>828.98500000000001</v>
      </c>
    </row>
    <row r="6" spans="1:7" x14ac:dyDescent="0.2">
      <c r="B6" t="s">
        <v>6204</v>
      </c>
      <c r="C6" s="7">
        <v>251.96499999999997</v>
      </c>
      <c r="D6" s="7">
        <v>129.46</v>
      </c>
      <c r="E6" s="7">
        <v>434.03999999999996</v>
      </c>
      <c r="F6" s="7">
        <v>171.93999999999997</v>
      </c>
      <c r="G6" s="7">
        <v>987.40499999999986</v>
      </c>
    </row>
    <row r="7" spans="1:7" x14ac:dyDescent="0.2">
      <c r="B7" t="s">
        <v>6205</v>
      </c>
      <c r="C7" s="7">
        <v>224.94499999999999</v>
      </c>
      <c r="D7" s="7">
        <v>349.12</v>
      </c>
      <c r="E7" s="7">
        <v>321.04000000000002</v>
      </c>
      <c r="F7" s="7">
        <v>126.035</v>
      </c>
      <c r="G7" s="7">
        <v>1021.14</v>
      </c>
    </row>
    <row r="8" spans="1:7" x14ac:dyDescent="0.2">
      <c r="B8" t="s">
        <v>6206</v>
      </c>
      <c r="C8" s="7">
        <v>307.12</v>
      </c>
      <c r="D8" s="7">
        <v>681.07499999999993</v>
      </c>
      <c r="E8" s="7">
        <v>533.70499999999993</v>
      </c>
      <c r="F8" s="7">
        <v>158.85</v>
      </c>
      <c r="G8" s="7">
        <v>1680.7499999999998</v>
      </c>
    </row>
    <row r="9" spans="1:7" x14ac:dyDescent="0.2">
      <c r="B9" t="s">
        <v>6207</v>
      </c>
      <c r="C9" s="7">
        <v>53.664999999999992</v>
      </c>
      <c r="D9" s="7">
        <v>83.025000000000006</v>
      </c>
      <c r="E9" s="7">
        <v>193.83499999999998</v>
      </c>
      <c r="F9" s="7">
        <v>68.039999999999992</v>
      </c>
      <c r="G9" s="7">
        <v>398.56499999999994</v>
      </c>
    </row>
    <row r="10" spans="1:7" x14ac:dyDescent="0.2">
      <c r="B10" t="s">
        <v>6208</v>
      </c>
      <c r="C10" s="7">
        <v>163.01999999999998</v>
      </c>
      <c r="D10" s="7">
        <v>678.3599999999999</v>
      </c>
      <c r="E10" s="7">
        <v>171.04500000000002</v>
      </c>
      <c r="F10" s="7">
        <v>372.255</v>
      </c>
      <c r="G10" s="7">
        <v>1384.6799999999998</v>
      </c>
    </row>
    <row r="11" spans="1:7" x14ac:dyDescent="0.2">
      <c r="B11" t="s">
        <v>6209</v>
      </c>
      <c r="C11" s="7">
        <v>345.02</v>
      </c>
      <c r="D11" s="7">
        <v>273.86999999999995</v>
      </c>
      <c r="E11" s="7">
        <v>184.12999999999997</v>
      </c>
      <c r="F11" s="7">
        <v>201.11499999999998</v>
      </c>
      <c r="G11" s="7">
        <v>1004.1349999999999</v>
      </c>
    </row>
    <row r="12" spans="1:7" x14ac:dyDescent="0.2">
      <c r="B12" t="s">
        <v>6210</v>
      </c>
      <c r="C12" s="7">
        <v>334.89</v>
      </c>
      <c r="D12" s="7">
        <v>70.95</v>
      </c>
      <c r="E12" s="7">
        <v>134.23000000000002</v>
      </c>
      <c r="F12" s="7">
        <v>166.27499999999998</v>
      </c>
      <c r="G12" s="7">
        <v>706.34499999999991</v>
      </c>
    </row>
    <row r="13" spans="1:7" x14ac:dyDescent="0.2">
      <c r="B13" t="s">
        <v>6211</v>
      </c>
      <c r="C13" s="7">
        <v>178.70999999999998</v>
      </c>
      <c r="D13" s="7">
        <v>166.1</v>
      </c>
      <c r="E13" s="7">
        <v>439.30999999999995</v>
      </c>
      <c r="F13" s="7">
        <v>492.9</v>
      </c>
      <c r="G13" s="7">
        <v>1277.02</v>
      </c>
    </row>
    <row r="14" spans="1:7" x14ac:dyDescent="0.2">
      <c r="B14" t="s">
        <v>6212</v>
      </c>
      <c r="C14" s="7">
        <v>301.98500000000001</v>
      </c>
      <c r="D14" s="7">
        <v>153.76499999999999</v>
      </c>
      <c r="E14" s="7">
        <v>215.55499999999998</v>
      </c>
      <c r="F14" s="7">
        <v>213.66499999999999</v>
      </c>
      <c r="G14" s="7">
        <v>884.96999999999991</v>
      </c>
    </row>
    <row r="15" spans="1:7" x14ac:dyDescent="0.2">
      <c r="B15" t="s">
        <v>6213</v>
      </c>
      <c r="C15" s="7">
        <v>312.83499999999998</v>
      </c>
      <c r="D15" s="7">
        <v>63.249999999999993</v>
      </c>
      <c r="E15" s="7">
        <v>350.89500000000004</v>
      </c>
      <c r="F15" s="7">
        <v>96.405000000000001</v>
      </c>
      <c r="G15" s="7">
        <v>823.38499999999999</v>
      </c>
    </row>
    <row r="16" spans="1:7" x14ac:dyDescent="0.2">
      <c r="B16" t="s">
        <v>6214</v>
      </c>
      <c r="C16" s="7">
        <v>265.62</v>
      </c>
      <c r="D16" s="7">
        <v>526.51499999999987</v>
      </c>
      <c r="E16" s="7">
        <v>187.06</v>
      </c>
      <c r="F16" s="7">
        <v>210.58999999999997</v>
      </c>
      <c r="G16" s="7">
        <v>1189.7849999999999</v>
      </c>
    </row>
    <row r="17" spans="1:7" x14ac:dyDescent="0.2">
      <c r="A17" t="s">
        <v>6217</v>
      </c>
      <c r="C17" s="7">
        <v>2926.63</v>
      </c>
      <c r="D17" s="7">
        <v>3481.4599999999996</v>
      </c>
      <c r="E17" s="7">
        <v>3378.0049999999997</v>
      </c>
      <c r="F17" s="7">
        <v>2401.0700000000002</v>
      </c>
      <c r="G17" s="7">
        <v>12187.164999999999</v>
      </c>
    </row>
    <row r="18" spans="1:7" x14ac:dyDescent="0.2">
      <c r="A18" t="s">
        <v>6200</v>
      </c>
      <c r="B18" t="s">
        <v>6203</v>
      </c>
      <c r="C18" s="7">
        <v>47.25</v>
      </c>
      <c r="D18" s="7">
        <v>65.805000000000007</v>
      </c>
      <c r="E18" s="7">
        <v>274.67500000000001</v>
      </c>
      <c r="F18" s="7">
        <v>179.22</v>
      </c>
      <c r="G18" s="7">
        <v>566.95000000000005</v>
      </c>
    </row>
    <row r="19" spans="1:7" x14ac:dyDescent="0.2">
      <c r="B19" t="s">
        <v>6204</v>
      </c>
      <c r="C19" s="7">
        <v>745.44999999999993</v>
      </c>
      <c r="D19" s="7">
        <v>428.88499999999999</v>
      </c>
      <c r="E19" s="7">
        <v>194.17499999999998</v>
      </c>
      <c r="F19" s="7">
        <v>429.82999999999993</v>
      </c>
      <c r="G19" s="7">
        <v>1798.34</v>
      </c>
    </row>
    <row r="20" spans="1:7" x14ac:dyDescent="0.2">
      <c r="B20" t="s">
        <v>6205</v>
      </c>
      <c r="C20" s="7">
        <v>130.47</v>
      </c>
      <c r="D20" s="7">
        <v>271.48500000000001</v>
      </c>
      <c r="E20" s="7">
        <v>281.20499999999998</v>
      </c>
      <c r="F20" s="7">
        <v>231.63000000000002</v>
      </c>
      <c r="G20" s="7">
        <v>914.79000000000008</v>
      </c>
    </row>
    <row r="21" spans="1:7" x14ac:dyDescent="0.2">
      <c r="B21" t="s">
        <v>6206</v>
      </c>
      <c r="C21" s="7">
        <v>27</v>
      </c>
      <c r="D21" s="7">
        <v>347.26</v>
      </c>
      <c r="E21" s="7">
        <v>147.51</v>
      </c>
      <c r="F21" s="7">
        <v>240.04</v>
      </c>
      <c r="G21" s="7">
        <v>761.81</v>
      </c>
    </row>
    <row r="22" spans="1:7" x14ac:dyDescent="0.2">
      <c r="B22" t="s">
        <v>6207</v>
      </c>
      <c r="C22" s="7">
        <v>255.11499999999995</v>
      </c>
      <c r="D22" s="7">
        <v>541.73</v>
      </c>
      <c r="E22" s="7">
        <v>83.43</v>
      </c>
      <c r="F22" s="7">
        <v>59.079999999999991</v>
      </c>
      <c r="G22" s="7">
        <v>939.35500000000013</v>
      </c>
    </row>
    <row r="23" spans="1:7" x14ac:dyDescent="0.2">
      <c r="B23" t="s">
        <v>6208</v>
      </c>
      <c r="C23" s="7">
        <v>584.78999999999985</v>
      </c>
      <c r="D23" s="7">
        <v>357.42999999999995</v>
      </c>
      <c r="E23" s="7">
        <v>355.34</v>
      </c>
      <c r="F23" s="7">
        <v>140.88</v>
      </c>
      <c r="G23" s="7">
        <v>1438.4399999999996</v>
      </c>
    </row>
    <row r="24" spans="1:7" x14ac:dyDescent="0.2">
      <c r="B24" t="s">
        <v>6209</v>
      </c>
      <c r="C24" s="7">
        <v>430.62</v>
      </c>
      <c r="D24" s="7">
        <v>227.42500000000001</v>
      </c>
      <c r="E24" s="7">
        <v>236.315</v>
      </c>
      <c r="F24" s="7">
        <v>414.58499999999992</v>
      </c>
      <c r="G24" s="7">
        <v>1308.9450000000002</v>
      </c>
    </row>
    <row r="25" spans="1:7" x14ac:dyDescent="0.2">
      <c r="B25" t="s">
        <v>6210</v>
      </c>
      <c r="C25" s="7">
        <v>22.5</v>
      </c>
      <c r="D25" s="7">
        <v>77.72</v>
      </c>
      <c r="E25" s="7">
        <v>60.5</v>
      </c>
      <c r="F25" s="7">
        <v>139.67999999999998</v>
      </c>
      <c r="G25" s="7">
        <v>300.39999999999998</v>
      </c>
    </row>
    <row r="26" spans="1:7" x14ac:dyDescent="0.2">
      <c r="B26" t="s">
        <v>6211</v>
      </c>
      <c r="C26" s="7">
        <v>126.14999999999999</v>
      </c>
      <c r="D26" s="7">
        <v>195.11</v>
      </c>
      <c r="E26" s="7">
        <v>89.13</v>
      </c>
      <c r="F26" s="7">
        <v>302.65999999999997</v>
      </c>
      <c r="G26" s="7">
        <v>713.05</v>
      </c>
    </row>
    <row r="27" spans="1:7" x14ac:dyDescent="0.2">
      <c r="B27" t="s">
        <v>6212</v>
      </c>
      <c r="C27" s="7">
        <v>376.03</v>
      </c>
      <c r="D27" s="7">
        <v>523.24</v>
      </c>
      <c r="E27" s="7">
        <v>440.96499999999997</v>
      </c>
      <c r="F27" s="7">
        <v>174.46999999999997</v>
      </c>
      <c r="G27" s="7">
        <v>1514.7049999999999</v>
      </c>
    </row>
    <row r="28" spans="1:7" x14ac:dyDescent="0.2">
      <c r="B28" t="s">
        <v>6213</v>
      </c>
      <c r="C28" s="7">
        <v>515.17999999999995</v>
      </c>
      <c r="D28" s="7">
        <v>142.56</v>
      </c>
      <c r="E28" s="7">
        <v>347.03999999999996</v>
      </c>
      <c r="F28" s="7">
        <v>104.08499999999999</v>
      </c>
      <c r="G28" s="7">
        <v>1108.865</v>
      </c>
    </row>
    <row r="29" spans="1:7" x14ac:dyDescent="0.2">
      <c r="B29" t="s">
        <v>6214</v>
      </c>
      <c r="C29" s="7">
        <v>95.859999999999985</v>
      </c>
      <c r="D29" s="7">
        <v>484.76</v>
      </c>
      <c r="E29" s="7">
        <v>94.17</v>
      </c>
      <c r="F29" s="7">
        <v>77.10499999999999</v>
      </c>
      <c r="G29" s="7">
        <v>751.89499999999998</v>
      </c>
    </row>
    <row r="30" spans="1:7" x14ac:dyDescent="0.2">
      <c r="A30" t="s">
        <v>6218</v>
      </c>
      <c r="C30" s="7">
        <v>3356.415</v>
      </c>
      <c r="D30" s="7">
        <v>3663.41</v>
      </c>
      <c r="E30" s="7">
        <v>2604.4550000000004</v>
      </c>
      <c r="F30" s="7">
        <v>2493.2649999999999</v>
      </c>
      <c r="G30" s="7">
        <v>12117.544999999998</v>
      </c>
    </row>
    <row r="31" spans="1:7" x14ac:dyDescent="0.2">
      <c r="A31" t="s">
        <v>6201</v>
      </c>
      <c r="B31" t="s">
        <v>6203</v>
      </c>
      <c r="C31" s="7">
        <v>258.34500000000003</v>
      </c>
      <c r="D31" s="7">
        <v>139.625</v>
      </c>
      <c r="E31" s="7">
        <v>279.52000000000004</v>
      </c>
      <c r="F31" s="7">
        <v>160.19499999999999</v>
      </c>
      <c r="G31" s="7">
        <v>837.68499999999995</v>
      </c>
    </row>
    <row r="32" spans="1:7" x14ac:dyDescent="0.2">
      <c r="B32" t="s">
        <v>6204</v>
      </c>
      <c r="C32" s="7">
        <v>342.2</v>
      </c>
      <c r="D32" s="7">
        <v>284.24999999999994</v>
      </c>
      <c r="E32" s="7">
        <v>251.83</v>
      </c>
      <c r="F32" s="7">
        <v>80.550000000000011</v>
      </c>
      <c r="G32" s="7">
        <v>958.82999999999993</v>
      </c>
    </row>
    <row r="33" spans="1:7" x14ac:dyDescent="0.2">
      <c r="B33" t="s">
        <v>6205</v>
      </c>
      <c r="C33" s="7">
        <v>418.30499999999989</v>
      </c>
      <c r="D33" s="7">
        <v>468.125</v>
      </c>
      <c r="E33" s="7">
        <v>405.05500000000006</v>
      </c>
      <c r="F33" s="7">
        <v>253.15499999999997</v>
      </c>
      <c r="G33" s="7">
        <v>1544.6399999999999</v>
      </c>
    </row>
    <row r="34" spans="1:7" x14ac:dyDescent="0.2">
      <c r="B34" t="s">
        <v>6206</v>
      </c>
      <c r="C34" s="7">
        <v>102.32999999999998</v>
      </c>
      <c r="D34" s="7">
        <v>242.14000000000001</v>
      </c>
      <c r="E34" s="7">
        <v>554.875</v>
      </c>
      <c r="F34" s="7">
        <v>106.23999999999998</v>
      </c>
      <c r="G34" s="7">
        <v>1005.585</v>
      </c>
    </row>
    <row r="35" spans="1:7" x14ac:dyDescent="0.2">
      <c r="B35" t="s">
        <v>6207</v>
      </c>
      <c r="C35" s="7">
        <v>234.71999999999997</v>
      </c>
      <c r="D35" s="7">
        <v>133.08000000000001</v>
      </c>
      <c r="E35" s="7">
        <v>267.2</v>
      </c>
      <c r="F35" s="7">
        <v>272.68999999999994</v>
      </c>
      <c r="G35" s="7">
        <v>907.68999999999994</v>
      </c>
    </row>
    <row r="36" spans="1:7" x14ac:dyDescent="0.2">
      <c r="B36" t="s">
        <v>6208</v>
      </c>
      <c r="C36" s="7">
        <v>430.39</v>
      </c>
      <c r="D36" s="7">
        <v>136.20500000000001</v>
      </c>
      <c r="E36" s="7">
        <v>209.6</v>
      </c>
      <c r="F36" s="7">
        <v>88.334999999999994</v>
      </c>
      <c r="G36" s="7">
        <v>864.53000000000009</v>
      </c>
    </row>
    <row r="37" spans="1:7" x14ac:dyDescent="0.2">
      <c r="B37" t="s">
        <v>6209</v>
      </c>
      <c r="C37" s="7">
        <v>109.005</v>
      </c>
      <c r="D37" s="7">
        <v>393.57499999999999</v>
      </c>
      <c r="E37" s="7">
        <v>61.034999999999997</v>
      </c>
      <c r="F37" s="7">
        <v>199.48999999999998</v>
      </c>
      <c r="G37" s="7">
        <v>763.10500000000002</v>
      </c>
    </row>
    <row r="38" spans="1:7" x14ac:dyDescent="0.2">
      <c r="B38" t="s">
        <v>6210</v>
      </c>
      <c r="C38" s="7">
        <v>287.52499999999998</v>
      </c>
      <c r="D38" s="7">
        <v>288.67</v>
      </c>
      <c r="E38" s="7">
        <v>125.58</v>
      </c>
      <c r="F38" s="7">
        <v>374.13499999999999</v>
      </c>
      <c r="G38" s="7">
        <v>1075.9099999999999</v>
      </c>
    </row>
    <row r="39" spans="1:7" x14ac:dyDescent="0.2">
      <c r="B39" t="s">
        <v>6211</v>
      </c>
      <c r="C39" s="7">
        <v>840.92999999999984</v>
      </c>
      <c r="D39" s="7">
        <v>409.875</v>
      </c>
      <c r="E39" s="7">
        <v>171.32999999999998</v>
      </c>
      <c r="F39" s="7">
        <v>221.43999999999997</v>
      </c>
      <c r="G39" s="7">
        <v>1643.5749999999998</v>
      </c>
    </row>
    <row r="40" spans="1:7" x14ac:dyDescent="0.2">
      <c r="B40" t="s">
        <v>6212</v>
      </c>
      <c r="C40" s="7">
        <v>299.07</v>
      </c>
      <c r="D40" s="7">
        <v>260.32499999999999</v>
      </c>
      <c r="E40" s="7">
        <v>584.64</v>
      </c>
      <c r="F40" s="7">
        <v>256.36500000000001</v>
      </c>
      <c r="G40" s="7">
        <v>1400.3999999999999</v>
      </c>
    </row>
    <row r="41" spans="1:7" x14ac:dyDescent="0.2">
      <c r="B41" t="s">
        <v>6213</v>
      </c>
      <c r="C41" s="7">
        <v>323.32499999999999</v>
      </c>
      <c r="D41" s="7">
        <v>565.57000000000005</v>
      </c>
      <c r="E41" s="7">
        <v>537.80999999999995</v>
      </c>
      <c r="F41" s="7">
        <v>189.47499999999999</v>
      </c>
      <c r="G41" s="7">
        <v>1616.1799999999998</v>
      </c>
    </row>
    <row r="42" spans="1:7" x14ac:dyDescent="0.2">
      <c r="B42" t="s">
        <v>6214</v>
      </c>
      <c r="C42" s="7">
        <v>399.48499999999996</v>
      </c>
      <c r="D42" s="7">
        <v>148.19999999999999</v>
      </c>
      <c r="E42" s="7">
        <v>388.21999999999997</v>
      </c>
      <c r="F42" s="7">
        <v>212.07499999999999</v>
      </c>
      <c r="G42" s="7">
        <v>1147.98</v>
      </c>
    </row>
    <row r="43" spans="1:7" x14ac:dyDescent="0.2">
      <c r="A43" t="s">
        <v>6219</v>
      </c>
      <c r="C43" s="7">
        <v>4045.63</v>
      </c>
      <c r="D43" s="7">
        <v>3469.64</v>
      </c>
      <c r="E43" s="7">
        <v>3836.6949999999997</v>
      </c>
      <c r="F43" s="7">
        <v>2414.145</v>
      </c>
      <c r="G43" s="7">
        <v>13766.109999999999</v>
      </c>
    </row>
    <row r="44" spans="1:7" x14ac:dyDescent="0.2">
      <c r="A44" t="s">
        <v>6202</v>
      </c>
      <c r="B44" t="s">
        <v>6203</v>
      </c>
      <c r="C44" s="7">
        <v>112.69499999999999</v>
      </c>
      <c r="D44" s="7">
        <v>166.32</v>
      </c>
      <c r="E44" s="7">
        <v>843.71499999999992</v>
      </c>
      <c r="F44" s="7">
        <v>146.685</v>
      </c>
      <c r="G44" s="7">
        <v>1269.415</v>
      </c>
    </row>
    <row r="45" spans="1:7" x14ac:dyDescent="0.2">
      <c r="B45" t="s">
        <v>6204</v>
      </c>
      <c r="C45" s="7">
        <v>114.87999999999998</v>
      </c>
      <c r="D45" s="7">
        <v>133.815</v>
      </c>
      <c r="E45" s="7">
        <v>91.175000000000011</v>
      </c>
      <c r="F45" s="7">
        <v>53.759999999999991</v>
      </c>
      <c r="G45" s="7">
        <v>393.63</v>
      </c>
    </row>
    <row r="46" spans="1:7" x14ac:dyDescent="0.2">
      <c r="B46" t="s">
        <v>6205</v>
      </c>
      <c r="C46" s="7">
        <v>277.76</v>
      </c>
      <c r="D46" s="7">
        <v>175.41</v>
      </c>
      <c r="E46" s="7">
        <v>462.50999999999993</v>
      </c>
      <c r="F46" s="7">
        <v>399.52499999999998</v>
      </c>
      <c r="G46" s="7">
        <v>1315.2049999999999</v>
      </c>
    </row>
    <row r="47" spans="1:7" x14ac:dyDescent="0.2">
      <c r="B47" t="s">
        <v>6206</v>
      </c>
      <c r="C47" s="7">
        <v>197.89499999999998</v>
      </c>
      <c r="D47" s="7">
        <v>289.755</v>
      </c>
      <c r="E47" s="7">
        <v>88.545000000000002</v>
      </c>
      <c r="F47" s="7">
        <v>200.25499999999997</v>
      </c>
      <c r="G47" s="7">
        <v>776.44999999999993</v>
      </c>
    </row>
    <row r="48" spans="1:7" x14ac:dyDescent="0.2">
      <c r="B48" t="s">
        <v>6207</v>
      </c>
      <c r="C48" s="7">
        <v>193.11499999999998</v>
      </c>
      <c r="D48" s="7">
        <v>212.49499999999998</v>
      </c>
      <c r="E48" s="7">
        <v>292.29000000000002</v>
      </c>
      <c r="F48" s="7">
        <v>304.46999999999997</v>
      </c>
      <c r="G48" s="7">
        <v>1002.3699999999999</v>
      </c>
    </row>
    <row r="49" spans="1:7" x14ac:dyDescent="0.2">
      <c r="B49" t="s">
        <v>6208</v>
      </c>
      <c r="C49" s="7">
        <v>179.79</v>
      </c>
      <c r="D49" s="7">
        <v>426.2</v>
      </c>
      <c r="E49" s="7">
        <v>170.08999999999997</v>
      </c>
      <c r="F49" s="7">
        <v>379.31</v>
      </c>
      <c r="G49" s="7">
        <v>1155.3899999999999</v>
      </c>
    </row>
    <row r="50" spans="1:7" x14ac:dyDescent="0.2">
      <c r="B50" t="s">
        <v>6209</v>
      </c>
      <c r="C50" s="7">
        <v>247.28999999999996</v>
      </c>
      <c r="D50" s="7">
        <v>246.685</v>
      </c>
      <c r="E50" s="7">
        <v>271.05499999999995</v>
      </c>
      <c r="F50" s="7">
        <v>141.69999999999999</v>
      </c>
      <c r="G50" s="7">
        <v>906.73</v>
      </c>
    </row>
    <row r="51" spans="1:7" x14ac:dyDescent="0.2">
      <c r="B51" t="s">
        <v>6210</v>
      </c>
      <c r="C51" s="7">
        <v>116.39499999999998</v>
      </c>
      <c r="D51" s="7">
        <v>41.25</v>
      </c>
      <c r="E51" s="7">
        <v>15.54</v>
      </c>
      <c r="F51" s="7">
        <v>71.06</v>
      </c>
      <c r="G51" s="7">
        <v>244.24499999999998</v>
      </c>
    </row>
    <row r="52" spans="1:7" x14ac:dyDescent="0.2">
      <c r="A52" t="s">
        <v>6220</v>
      </c>
      <c r="C52" s="7">
        <v>1439.82</v>
      </c>
      <c r="D52" s="7">
        <v>1691.9299999999998</v>
      </c>
      <c r="E52" s="7">
        <v>2234.9199999999996</v>
      </c>
      <c r="F52" s="7">
        <v>1696.7649999999999</v>
      </c>
      <c r="G52" s="7">
        <v>7063.4349999999986</v>
      </c>
    </row>
    <row r="53" spans="1:7" x14ac:dyDescent="0.2">
      <c r="A53" t="s">
        <v>6198</v>
      </c>
      <c r="C53" s="7">
        <v>11768.495000000003</v>
      </c>
      <c r="D53" s="7">
        <v>12306.440000000002</v>
      </c>
      <c r="E53" s="7">
        <v>12054.075000000003</v>
      </c>
      <c r="F53" s="7">
        <v>9005.244999999999</v>
      </c>
      <c r="G53" s="7">
        <v>45134.255000000005</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9F5FD-2600-C841-8876-14A1F2585BD2}">
  <dimension ref="A4:B8"/>
  <sheetViews>
    <sheetView zoomScale="125" workbookViewId="0">
      <selection activeCell="A6" sqref="A5:A7"/>
    </sheetView>
  </sheetViews>
  <sheetFormatPr baseColWidth="10" defaultRowHeight="15" x14ac:dyDescent="0.2"/>
  <cols>
    <col min="1" max="1" width="13.5" bestFit="1" customWidth="1"/>
    <col min="2" max="2" width="10.83203125" bestFit="1" customWidth="1"/>
    <col min="3" max="3" width="11.83203125" bestFit="1" customWidth="1"/>
    <col min="4" max="6" width="21" bestFit="1" customWidth="1"/>
    <col min="7" max="7" width="10.5" bestFit="1" customWidth="1"/>
  </cols>
  <sheetData>
    <row r="4" spans="1:2" x14ac:dyDescent="0.2">
      <c r="A4" s="6" t="s">
        <v>6226</v>
      </c>
      <c r="B4" t="s">
        <v>6225</v>
      </c>
    </row>
    <row r="5" spans="1:2" x14ac:dyDescent="0.2">
      <c r="A5" s="9" t="s">
        <v>28</v>
      </c>
      <c r="B5" s="8">
        <v>2798.5050000000001</v>
      </c>
    </row>
    <row r="6" spans="1:2" x14ac:dyDescent="0.2">
      <c r="A6" s="9" t="s">
        <v>318</v>
      </c>
      <c r="B6" s="8">
        <v>6696.8649999999989</v>
      </c>
    </row>
    <row r="7" spans="1:2" x14ac:dyDescent="0.2">
      <c r="A7" s="9" t="s">
        <v>19</v>
      </c>
      <c r="B7" s="8">
        <v>35638.88499999998</v>
      </c>
    </row>
    <row r="8" spans="1:2" x14ac:dyDescent="0.2">
      <c r="A8" s="9" t="s">
        <v>6198</v>
      </c>
      <c r="B8" s="8">
        <v>45134.254999999976</v>
      </c>
    </row>
  </sheetData>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2717-77E0-F441-B897-C6230D517209}">
  <dimension ref="A3:B9"/>
  <sheetViews>
    <sheetView topLeftCell="A2" zoomScale="125" workbookViewId="0">
      <selection activeCell="A3" sqref="A3"/>
    </sheetView>
  </sheetViews>
  <sheetFormatPr baseColWidth="10" defaultRowHeight="15" x14ac:dyDescent="0.2"/>
  <cols>
    <col min="1" max="1" width="16" bestFit="1" customWidth="1"/>
    <col min="2" max="2" width="10.83203125" bestFit="1" customWidth="1"/>
    <col min="3" max="3" width="18" bestFit="1" customWidth="1"/>
    <col min="4" max="6" width="21" bestFit="1" customWidth="1"/>
    <col min="7" max="7" width="10.5" bestFit="1" customWidth="1"/>
  </cols>
  <sheetData>
    <row r="3" spans="1:2" x14ac:dyDescent="0.2">
      <c r="A3" s="6" t="s">
        <v>4</v>
      </c>
      <c r="B3" t="s">
        <v>6225</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row r="9" spans="1:2" x14ac:dyDescent="0.2">
      <c r="A9" t="s">
        <v>6198</v>
      </c>
      <c r="B9" s="8">
        <v>1472.9099999999999</v>
      </c>
    </row>
  </sheetData>
  <pageMargins left="0.7" right="0.7" top="0.75" bottom="0.75" header="0.3" footer="0.3"/>
  <pageSetup paperSize="9"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H15" sqref="H15"/>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33.83203125" bestFit="1" customWidth="1"/>
    <col min="8" max="8" width="13.5" bestFit="1" customWidth="1"/>
    <col min="9" max="9" width="12.5" customWidth="1"/>
    <col min="10" max="10" width="11.6640625" customWidth="1"/>
    <col min="11" max="11" width="7.33203125" customWidth="1"/>
    <col min="12" max="12" width="10.6640625" customWidth="1"/>
    <col min="13" max="13" width="8.1640625" bestFit="1" customWidth="1"/>
    <col min="14" max="14" width="17.6640625" customWidth="1"/>
    <col min="15" max="15" width="16.832031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L3*E3</f>
        <v>41.25</v>
      </c>
      <c r="N3" t="str">
        <f t="shared" ref="N3:N66" si="0">IF(I3="Rob","Robusta",IF(I3="Exc","Excelsa",IF(I3="Ara","Arabica",IF(I3="Lib","Liberica",""))))</f>
        <v>Excelsa</v>
      </c>
      <c r="O3" t="str">
        <f t="shared" ref="O3:O66" si="1">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ref="M4:M66" si="2">L4*E4</f>
        <v>12.95</v>
      </c>
      <c r="N4" t="str">
        <f t="shared" si="0"/>
        <v>Arabica</v>
      </c>
      <c r="O4" t="str">
        <f t="shared" si="1"/>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2"/>
        <v>27.5</v>
      </c>
      <c r="N5" t="str">
        <f t="shared" si="0"/>
        <v>Excelsa</v>
      </c>
      <c r="O5" t="str">
        <f>IF(J5="M","Medium",IF(J5="L","Light",IF(J5="D","Dark","")))</f>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2"/>
        <v>54.969999999999992</v>
      </c>
      <c r="N6" t="str">
        <f t="shared" si="0"/>
        <v>Robusta</v>
      </c>
      <c r="O6" t="str">
        <f t="shared" si="1"/>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L7*E7</f>
        <v>38.849999999999994</v>
      </c>
      <c r="N7" t="str">
        <f t="shared" si="0"/>
        <v>Liberica</v>
      </c>
      <c r="O7" t="str">
        <f t="shared" si="1"/>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2"/>
        <v>21.87</v>
      </c>
      <c r="N8" t="str">
        <f t="shared" si="0"/>
        <v>Excelsa</v>
      </c>
      <c r="O8" t="str">
        <f t="shared" si="1"/>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2"/>
        <v>4.7549999999999999</v>
      </c>
      <c r="N9" t="str">
        <f t="shared" si="0"/>
        <v>Liberica</v>
      </c>
      <c r="O9" t="str">
        <f t="shared" si="1"/>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2"/>
        <v>17.91</v>
      </c>
      <c r="N10" t="str">
        <f t="shared" si="0"/>
        <v>Robusta</v>
      </c>
      <c r="O10" t="str">
        <f t="shared" si="1"/>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L11*E11</f>
        <v>5.97</v>
      </c>
      <c r="N11" t="str">
        <f t="shared" si="0"/>
        <v>Robusta</v>
      </c>
      <c r="O11" t="str">
        <f t="shared" si="1"/>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2"/>
        <v>39.799999999999997</v>
      </c>
      <c r="N12" t="str">
        <f t="shared" si="0"/>
        <v>Arabica</v>
      </c>
      <c r="O12" t="str">
        <f t="shared" si="1"/>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2"/>
        <v>170.77499999999998</v>
      </c>
      <c r="N13" t="str">
        <f t="shared" si="0"/>
        <v>Excelsa</v>
      </c>
      <c r="O13" t="str">
        <f t="shared" si="1"/>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2"/>
        <v>49.75</v>
      </c>
      <c r="N14" t="str">
        <f t="shared" si="0"/>
        <v>Robusta</v>
      </c>
      <c r="O14" t="str">
        <f t="shared" si="1"/>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2"/>
        <v>41.169999999999995</v>
      </c>
      <c r="N15" t="str">
        <f t="shared" si="0"/>
        <v>Robusta</v>
      </c>
      <c r="O15" t="str">
        <f t="shared" si="1"/>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2"/>
        <v>11.654999999999999</v>
      </c>
      <c r="N16" t="str">
        <f t="shared" si="0"/>
        <v>Liberica</v>
      </c>
      <c r="O16" t="str">
        <f t="shared" si="1"/>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2"/>
        <v>114.42499999999998</v>
      </c>
      <c r="N17" t="str">
        <f t="shared" si="0"/>
        <v>Robusta</v>
      </c>
      <c r="O17" t="str">
        <f t="shared" si="1"/>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2"/>
        <v>20.25</v>
      </c>
      <c r="N18" t="str">
        <f t="shared" si="0"/>
        <v>Arabica</v>
      </c>
      <c r="O18" t="str">
        <f t="shared" si="1"/>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2"/>
        <v>77.699999999999989</v>
      </c>
      <c r="N19" t="str">
        <f t="shared" si="0"/>
        <v>Arabica</v>
      </c>
      <c r="O19" t="str">
        <f t="shared" si="1"/>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2"/>
        <v>82.339999999999989</v>
      </c>
      <c r="N20" t="str">
        <f t="shared" si="0"/>
        <v>Robusta</v>
      </c>
      <c r="O20" t="str">
        <f t="shared" si="1"/>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2"/>
        <v>16.875</v>
      </c>
      <c r="N21" t="str">
        <f t="shared" si="0"/>
        <v>Arabica</v>
      </c>
      <c r="O21" t="str">
        <f t="shared" si="1"/>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2"/>
        <v>14.58</v>
      </c>
      <c r="N22" t="str">
        <f t="shared" si="0"/>
        <v>Excelsa</v>
      </c>
      <c r="O22" t="str">
        <f t="shared" si="1"/>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2"/>
        <v>17.91</v>
      </c>
      <c r="N23" t="str">
        <f t="shared" si="0"/>
        <v>Arabica</v>
      </c>
      <c r="O23" t="str">
        <f t="shared" si="1"/>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2"/>
        <v>91.539999999999992</v>
      </c>
      <c r="N24" t="str">
        <f t="shared" si="0"/>
        <v>Robusta</v>
      </c>
      <c r="O24" t="str">
        <f t="shared" si="1"/>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2"/>
        <v>11.94</v>
      </c>
      <c r="N25" t="str">
        <f t="shared" si="0"/>
        <v>Arabica</v>
      </c>
      <c r="O25" t="str">
        <f t="shared" si="1"/>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2"/>
        <v>11.25</v>
      </c>
      <c r="N26" t="str">
        <f t="shared" si="0"/>
        <v>Arabica</v>
      </c>
      <c r="O26" t="str">
        <f t="shared" si="1"/>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2"/>
        <v>12.375</v>
      </c>
      <c r="N27" t="str">
        <f t="shared" si="0"/>
        <v>Excelsa</v>
      </c>
      <c r="O27" t="str">
        <f t="shared" si="1"/>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2"/>
        <v>27</v>
      </c>
      <c r="N28" t="str">
        <f t="shared" si="0"/>
        <v>Arabica</v>
      </c>
      <c r="O28" t="str">
        <f t="shared" si="1"/>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2"/>
        <v>16.875</v>
      </c>
      <c r="N29" t="str">
        <f t="shared" si="0"/>
        <v>Arabica</v>
      </c>
      <c r="O29" t="str">
        <f t="shared" si="1"/>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2"/>
        <v>17.91</v>
      </c>
      <c r="N30" t="str">
        <f t="shared" si="0"/>
        <v>Arabica</v>
      </c>
      <c r="O30" t="str">
        <f t="shared" si="1"/>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2"/>
        <v>39.799999999999997</v>
      </c>
      <c r="N31" t="str">
        <f t="shared" si="0"/>
        <v>Arabica</v>
      </c>
      <c r="O31" t="str">
        <f t="shared" si="1"/>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2"/>
        <v>21.825000000000003</v>
      </c>
      <c r="N32" t="str">
        <f t="shared" si="0"/>
        <v>Liberica</v>
      </c>
      <c r="O32" t="str">
        <f t="shared" si="1"/>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2"/>
        <v>35.82</v>
      </c>
      <c r="N33" t="str">
        <f t="shared" si="0"/>
        <v>Arabica</v>
      </c>
      <c r="O33" t="str">
        <f t="shared" si="1"/>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2"/>
        <v>52.38</v>
      </c>
      <c r="N34" t="str">
        <f t="shared" si="0"/>
        <v>Liberica</v>
      </c>
      <c r="O34" t="str">
        <f t="shared" si="1"/>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2"/>
        <v>23.774999999999999</v>
      </c>
      <c r="N35" t="str">
        <f t="shared" si="0"/>
        <v>Liberica</v>
      </c>
      <c r="O35" t="str">
        <f t="shared" si="1"/>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2"/>
        <v>57.06</v>
      </c>
      <c r="N36" t="str">
        <f t="shared" si="0"/>
        <v>Liberica</v>
      </c>
      <c r="O36" t="str">
        <f t="shared" si="1"/>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2"/>
        <v>35.82</v>
      </c>
      <c r="N37" t="str">
        <f t="shared" si="0"/>
        <v>Arabica</v>
      </c>
      <c r="O37" t="str">
        <f t="shared" si="1"/>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2"/>
        <v>8.73</v>
      </c>
      <c r="N38" t="str">
        <f t="shared" si="0"/>
        <v>Liberica</v>
      </c>
      <c r="O38" t="str">
        <f t="shared" si="1"/>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2"/>
        <v>28.53</v>
      </c>
      <c r="N39" t="str">
        <f t="shared" si="0"/>
        <v>Liberica</v>
      </c>
      <c r="O39" t="str">
        <f t="shared" si="1"/>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2"/>
        <v>114.42499999999998</v>
      </c>
      <c r="N40" t="str">
        <f t="shared" si="0"/>
        <v>Robusta</v>
      </c>
      <c r="O40" t="str">
        <f t="shared" si="1"/>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2"/>
        <v>59.699999999999996</v>
      </c>
      <c r="N41" t="str">
        <f t="shared" si="0"/>
        <v>Robusta</v>
      </c>
      <c r="O41" t="str">
        <f t="shared" si="1"/>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2"/>
        <v>43.650000000000006</v>
      </c>
      <c r="N42" t="str">
        <f t="shared" si="0"/>
        <v>Liberica</v>
      </c>
      <c r="O42" t="str">
        <f t="shared" si="1"/>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2"/>
        <v>7.29</v>
      </c>
      <c r="N43" t="str">
        <f t="shared" si="0"/>
        <v>Excelsa</v>
      </c>
      <c r="O43" t="str">
        <f t="shared" si="1"/>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2"/>
        <v>8.0549999999999997</v>
      </c>
      <c r="N44" t="str">
        <f t="shared" si="0"/>
        <v>Robusta</v>
      </c>
      <c r="O44" t="str">
        <f t="shared" si="1"/>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2"/>
        <v>72.91</v>
      </c>
      <c r="N45" t="str">
        <f t="shared" si="0"/>
        <v>Liberica</v>
      </c>
      <c r="O45" t="str">
        <f t="shared" si="1"/>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2"/>
        <v>16.5</v>
      </c>
      <c r="N46" t="str">
        <f t="shared" si="0"/>
        <v>Excelsa</v>
      </c>
      <c r="O46" t="str">
        <f t="shared" si="1"/>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2"/>
        <v>178.70999999999998</v>
      </c>
      <c r="N47" t="str">
        <f t="shared" si="0"/>
        <v>Liberica</v>
      </c>
      <c r="O47" t="str">
        <f t="shared" si="1"/>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2"/>
        <v>63.249999999999993</v>
      </c>
      <c r="N48" t="str">
        <f t="shared" si="0"/>
        <v>Excelsa</v>
      </c>
      <c r="O48" t="str">
        <f t="shared" si="1"/>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2"/>
        <v>7.77</v>
      </c>
      <c r="N49" t="str">
        <f t="shared" si="0"/>
        <v>Arabica</v>
      </c>
      <c r="O49" t="str">
        <f t="shared" si="1"/>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2"/>
        <v>91.539999999999992</v>
      </c>
      <c r="N50" t="str">
        <f t="shared" si="0"/>
        <v>Arabica</v>
      </c>
      <c r="O50" t="str">
        <f t="shared" si="1"/>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2"/>
        <v>38.849999999999994</v>
      </c>
      <c r="N51" t="str">
        <f t="shared" si="0"/>
        <v>Arabica</v>
      </c>
      <c r="O51" t="str">
        <f t="shared" si="1"/>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2"/>
        <v>15.54</v>
      </c>
      <c r="N52" t="str">
        <f t="shared" si="0"/>
        <v>Liberica</v>
      </c>
      <c r="O52" t="str">
        <f t="shared" si="1"/>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2"/>
        <v>145.82</v>
      </c>
      <c r="N53" t="str">
        <f t="shared" si="0"/>
        <v>Liberica</v>
      </c>
      <c r="O53" t="str">
        <f t="shared" si="1"/>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2"/>
        <v>29.849999999999998</v>
      </c>
      <c r="N54" t="str">
        <f t="shared" si="0"/>
        <v>Robusta</v>
      </c>
      <c r="O54" t="str">
        <f t="shared" si="1"/>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2"/>
        <v>72.91</v>
      </c>
      <c r="N55" t="str">
        <f t="shared" si="0"/>
        <v>Liberica</v>
      </c>
      <c r="O55" t="str">
        <f t="shared" si="1"/>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2"/>
        <v>72.75</v>
      </c>
      <c r="N56" t="str">
        <f t="shared" si="0"/>
        <v>Liberica</v>
      </c>
      <c r="O56" t="str">
        <f t="shared" si="1"/>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2"/>
        <v>47.55</v>
      </c>
      <c r="N57" t="str">
        <f t="shared" si="0"/>
        <v>Liberica</v>
      </c>
      <c r="O57" t="str">
        <f t="shared" si="1"/>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2"/>
        <v>10.935</v>
      </c>
      <c r="N58" t="str">
        <f t="shared" si="0"/>
        <v>Excelsa</v>
      </c>
      <c r="O58" t="str">
        <f t="shared" si="1"/>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2"/>
        <v>59.4</v>
      </c>
      <c r="N59" t="str">
        <f t="shared" si="0"/>
        <v>Excelsa</v>
      </c>
      <c r="O59" t="str">
        <f t="shared" si="1"/>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2"/>
        <v>89.35499999999999</v>
      </c>
      <c r="N60" t="str">
        <f t="shared" si="0"/>
        <v>Liberica</v>
      </c>
      <c r="O60" t="str">
        <f t="shared" si="1"/>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2"/>
        <v>26.19</v>
      </c>
      <c r="N61" t="str">
        <f t="shared" si="0"/>
        <v>Liberica</v>
      </c>
      <c r="O61" t="str">
        <f t="shared" si="1"/>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2"/>
        <v>114.42499999999998</v>
      </c>
      <c r="N62" t="str">
        <f t="shared" si="0"/>
        <v>Arabica</v>
      </c>
      <c r="O62" t="str">
        <f t="shared" si="1"/>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2"/>
        <v>26.849999999999994</v>
      </c>
      <c r="N63" t="str">
        <f t="shared" si="0"/>
        <v>Robusta</v>
      </c>
      <c r="O63" t="str">
        <f t="shared" si="1"/>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2"/>
        <v>23.774999999999999</v>
      </c>
      <c r="N64" t="str">
        <f t="shared" si="0"/>
        <v>Liberica</v>
      </c>
      <c r="O64" t="str">
        <f t="shared" si="1"/>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2"/>
        <v>6.75</v>
      </c>
      <c r="N65" t="str">
        <f t="shared" si="0"/>
        <v>Arabica</v>
      </c>
      <c r="O65" t="str">
        <f t="shared" si="1"/>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2"/>
        <v>35.82</v>
      </c>
      <c r="N66" t="str">
        <f t="shared" si="0"/>
        <v>Robusta</v>
      </c>
      <c r="O66" t="str">
        <f t="shared" si="1"/>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election activeCell="D10" sqref="D10"/>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Nina Zhang</cp:lastModifiedBy>
  <cp:revision/>
  <dcterms:created xsi:type="dcterms:W3CDTF">2022-11-26T09:51:45Z</dcterms:created>
  <dcterms:modified xsi:type="dcterms:W3CDTF">2026-04-27T12:37:44Z</dcterms:modified>
  <cp:category/>
  <cp:contentStatus/>
</cp:coreProperties>
</file>